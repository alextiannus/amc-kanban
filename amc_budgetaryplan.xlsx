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7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<sst xmlns="http://schemas.openxmlformats.org/spreadsheetml/2006/main" count="27" uniqueCount="26">
  <si>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成本计算</t>
  </si>
  <si>
    <t>套餐</t>
  </si>
  <si>
    <t>Basic</t>
  </si>
  <si>
    <t>Essential</t>
  </si>
  <si>
    <t>Advanced</t>
  </si>
  <si>
    <t>品牌主理人</t>
  </si>
  <si>
    <t>高级品牌主理人</t>
  </si>
  <si>
    <t>管理预算，培训，Research 预算</t>
  </si>
  <si>
    <t>Partner</t>
  </si>
  <si>
    <t>AI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</si>
  <si>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</si>
  <si>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</si>
  <si>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</si>
  <si>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</si>
  <si>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续约佣金/内部佣金</t>
  </si>
  <si>
    <t>销售收入</t>
  </si>
  <si>
    <t>Upsell佣金</t>
  </si>
  <si>
    <t>销售分成 (Partner级别和公司55分，主理人和高级主理人3/7分）</t>
  </si>
  <si>
    <t>分成收入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</si>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</sst>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9" fontId="0" fillId="0" borderId="0" xfId="0" applyNumberFormat="1">
      <alignment vertical="center"/>
    </xf>
    <xf numFmtId="9" fontId="0" fillId="0" borderId="0" xfId="3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M26"/>
  <sheetViews>
    <sheetView tabSelected="1" topLeftCell="B4" workbookViewId="0">
      <selection activeCell="G15" sqref="G15"/>
    </sheetView>
  </sheetViews>
  <sheetFormatPr defaultColWidth="9" defaultRowHeight="16.8"/>
  <cols>
    <col min="4" max="4" width="28.1875" customWidth="1"/>
    <col min="5" max="5" width="12.6875"/>
    <col min="6" max="6" width="9.8984375" customWidth="1"/>
    <col min="7" max="7" width="12.6875"/>
    <col min="10" max="10" width="10.421875" customWidth="1"/>
    <col min="11" max="11" width="13.8046875" customWidth="1"/>
    <col min="12" max="12" width="17.0546875" customWidth="1"/>
    <col min="13" max="13" width="14.84375" customWidth="1"/>
  </cols>
  <sheetData>
    <row r="6" spans="4:13">
      <c r="D6" t="s">
        <v>0</v>
      </c>
      <c r="E6">
        <v>30</v>
      </c>
      <c r="F6">
        <v>30</v>
      </c>
      <c r="G6">
        <v>10</v>
      </c>
    </row>
    <row r="7" spans="4:13">
      <c r="D7" t="s">
        <v>1</v>
      </c>
      <c r="E7" t="s">
        <v>2</v>
      </c>
      <c r="F7" t="s">
        <v>3</v>
      </c>
      <c r="G7" t="s">
        <v>4</v>
      </c>
      <c r="J7" t="s">
        <v>5</v>
      </c>
      <c r="K7" t="s">
        <v>6</v>
      </c>
      <c r="L7" t="s">
        <v>7</v>
      </c>
      <c r="M7" t="s">
        <v>8</v>
      </c>
    </row>
    <row r="8" spans="4:13">
      <c r="E8">
        <v>600</v>
      </c>
      <c r="F8">
        <v>1600</v>
      </c>
      <c r="G8">
        <v>2600</v>
      </c>
    </row>
    <row r="9" spans="4:13">
      <c r="D9" t="s">
        <v>9</v>
      </c>
      <c r="E9">
        <v>80</v>
      </c>
      <c r="F9">
        <v>120</v>
      </c>
      <c r="G9">
        <v>160</v>
      </c>
    </row>
    <row r="10" spans="4:13">
      <c r="D10" t="s">
        <v>5</v>
      </c>
      <c r="E10">
        <v>40</v>
      </c>
      <c r="F10">
        <v>60</v>
      </c>
      <c r="G10">
        <v>120</v>
      </c>
      <c r="J10">
        <f>E10*E6</f>
        <v>1200</v>
      </c>
      <c r="K10">
        <f>F10*F6</f>
        <v>1800</v>
      </c>
      <c r="M10">
        <f>G10*G6</f>
        <v>1200</v>
      </c>
    </row>
    <row r="11" spans="4:13">
      <c r="D11" t="s">
        <v>10</v>
      </c>
      <c r="E11">
        <f>E10*30%</f>
        <v>12</v>
      </c>
      <c r="F11">
        <f>F10*30%</f>
        <v>18</v>
      </c>
      <c r="G11">
        <f>G10*30%</f>
        <v>36</v>
      </c>
      <c r="L11">
        <f>E11*E6*50</f>
        <v>18000</v>
      </c>
    </row>
    <row r="12" spans="4:13">
      <c r="D12" t="s">
        <v>11</v>
      </c>
      <c r="E12">
        <v>100</v>
      </c>
      <c r="F12">
        <v>200</v>
      </c>
      <c r="G12">
        <v>300</v>
      </c>
    </row>
    <row r="13" spans="4:13">
      <c r="D13" t="s">
        <v>12</v>
      </c>
      <c r="E13">
        <v>150</v>
      </c>
      <c r="F13">
        <v>600</v>
      </c>
      <c r="G13">
        <v>900</v>
      </c>
      <c r="M13">
        <f>50*200</f>
        <v>10000</v>
      </c>
    </row>
    <row r="14" spans="4:13">
      <c r="D14" t="s">
        <v>13</v>
      </c>
      <c r="E14">
        <f>E8*5%</f>
        <v>30</v>
      </c>
      <c r="F14">
        <f>F8*5%</f>
        <v>80</v>
      </c>
      <c r="G14">
        <f>G8*5%</f>
        <v>130</v>
      </c>
      <c r="J14">
        <f>E14*1/4*E6</f>
        <v>225</v>
      </c>
      <c r="K14">
        <f>F14*1/4*F6</f>
        <v>600</v>
      </c>
    </row>
    <row r="16" spans="4:13">
      <c r="D16" t="s">
        <v>14</v>
      </c>
      <c r="E16" s="1">
        <v>0.05</v>
      </c>
      <c r="F16" s="1">
        <v>0.05</v>
      </c>
      <c r="G16" s="1">
        <v>0.05</v>
      </c>
      <c r="I16" t="s">
        <v>15</v>
      </c>
      <c r="J16">
        <f>E8*E16*E6</f>
        <v>900</v>
      </c>
      <c r="K16">
        <f>F8*F16*F6</f>
        <v>2400</v>
      </c>
    </row>
    <row r="17" spans="4:13">
      <c r="D17" t="s">
        <v>16</v>
      </c>
      <c r="E17" s="1">
        <v>0.05</v>
      </c>
      <c r="F17" s="1">
        <v>0.05</v>
      </c>
      <c r="G17" s="1">
        <v>0.05</v>
      </c>
    </row>
    <row r="18" spans="4:13">
      <c r="D18" t="s">
        <v>17</v>
      </c>
      <c r="E18" s="1">
        <v>0.5</v>
      </c>
      <c r="F18" s="1">
        <v>0.5</v>
      </c>
      <c r="G18" s="1">
        <v>0.5</v>
      </c>
      <c r="I18" t="s">
        <v>18</v>
      </c>
      <c r="M18">
        <f>4000*3</f>
        <v>12000</v>
      </c>
    </row>
    <row r="20" spans="4:13">
      <c r="D20" t="s">
        <v>19</v>
      </c>
      <c r="E20">
        <f>E8-SUM(E9:E14)</f>
        <v>188</v>
      </c>
      <c r="F20">
        <f>F8-SUM(F9:F14)</f>
        <v>522</v>
      </c>
      <c r="G20">
        <f>G8-SUM(G9:G14)</f>
        <v>954</v>
      </c>
      <c r="I20" t="s">
        <v>20</v>
      </c>
      <c r="J20">
        <f>J10+J14</f>
        <v>1425</v>
      </c>
      <c r="K20">
        <f>K10+K14</f>
        <v>2400</v>
      </c>
    </row>
    <row r="21" spans="4:13">
      <c r="D21" t="s">
        <v>21</v>
      </c>
      <c r="E21" s="2">
        <f>E20/E8</f>
        <v>0.313333333333333</v>
      </c>
      <c r="F21" s="2">
        <f>F20/F8</f>
        <v>0.32625</v>
      </c>
      <c r="G21" s="2">
        <f>G20/G8</f>
        <v>0.366923076923077</v>
      </c>
      <c r="I21" t="s">
        <v>22</v>
      </c>
      <c r="J21">
        <f>J16+J20</f>
        <v>2325</v>
      </c>
      <c r="K21">
        <f>K16+K20</f>
        <v>4800</v>
      </c>
      <c r="M21">
        <f>SUM(M9:M20)</f>
        <v>23200</v>
      </c>
    </row>
    <row r="23" spans="4:13">
      <c r="D23" t="s">
        <v>23</v>
      </c>
      <c r="E23">
        <f>E20-E8*10%+E12</f>
        <v>228</v>
      </c>
      <c r="F23">
        <f>F20-F8*10%+F12</f>
        <v>562</v>
      </c>
      <c r="G23">
        <f>G20-G8*10%+G12</f>
        <v>994</v>
      </c>
    </row>
    <row r="24" spans="4:13">
      <c r="D24" t="s">
        <v>24</v>
      </c>
      <c r="E24" s="2">
        <f>E23/E8</f>
        <v>0.38</v>
      </c>
      <c r="F24" s="2">
        <f>F23/F8</f>
        <v>0.35125</v>
      </c>
      <c r="G24" s="2">
        <f>G23/G8</f>
        <v>0.382307692307692</v>
      </c>
    </row>
    <row r="26" spans="4:13">
      <c r="D26" t="s">
        <v>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2026-06-10T23:13:56Z</dcterms:created>
  <dcterms:modified xsi:type="dcterms:W3CDTF">2026-06-18T11:45:27Z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