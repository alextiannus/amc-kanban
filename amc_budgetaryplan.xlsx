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07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<sst xmlns="http://schemas.openxmlformats.org/spreadsheetml/2006/main" count="57" uniqueCount="56">
  <si>
    <t>N.A.</t>
  </si>
  <si>
    <t>成本计算</t>
  </si>
  <si>
    <t>套餐</t>
  </si>
  <si>
    <t>tier 1</t>
  </si>
  <si>
    <t>tier 1 Discount</t>
  </si>
  <si>
    <t>Tier 2</t>
  </si>
  <si>
    <t>Tier 2 Discount</t>
  </si>
  <si>
    <t xml:space="preserve">Tier 2 </t>
  </si>
  <si>
    <t>品牌主理人</t>
  </si>
  <si>
    <t>资深品牌主理人</t>
  </si>
  <si>
    <t>Research</t>
  </si>
  <si>
    <t>AI</t>
  </si>
  <si>
    <t>品牌运营基本收入</t>
  </si>
  <si>
    <t>培训，QA支出</t>
  </si>
  <si>
    <t>管理支出（管理和培训，Research)</t>
  </si>
  <si>
    <t>销售支出（外部销售）</t>
  </si>
  <si>
    <t>其他支出(达人探店，素材拍摄）</t>
  </si>
  <si>
    <t>激励支出（品牌主理人和达人）</t>
  </si>
  <si>
    <t>素材成本</t>
  </si>
  <si>
    <t>续约佣金/内部佣金</t>
  </si>
  <si>
    <t>销售收入</t>
  </si>
  <si>
    <t>Upsell佣金</t>
  </si>
  <si>
    <t>第一年月利润</t>
  </si>
  <si>
    <t>运营月收入</t>
  </si>
  <si>
    <t>第一年利润率</t>
  </si>
  <si>
    <t>总月收入</t>
  </si>
  <si>
    <t>续约月利润</t>
  </si>
  <si>
    <t>续约利润率</t>
  </si>
  <si>
    <t>Upsell产品佣金比例</t>
  </si>
  <si>
    <t>销售佣金</t>
  </si>
  <si>
    <t>Gross Salary</t>
  </si>
  <si>
    <t>基本要求（Gross Salary*12)</t>
  </si>
  <si>
    <t>奖励阶梯</t>
  </si>
  <si>
    <t>计算方式</t>
  </si>
  <si>
    <t>A</t>
  </si>
  <si>
    <t>代运营业务（AMC10%，点评（10%混）;</t>
  </si>
  <si>
    <t>相当于卖掉10个</t>
  </si>
  <si>
    <t>没有佣金，给予警告，连续三个月fail</t>
  </si>
  <si>
    <t>没满足基本销售额要求</t>
  </si>
  <si>
    <t>B</t>
  </si>
  <si>
    <t>平台合作（外卖，团购）</t>
  </si>
  <si>
    <t>上个月上线店铺的销售额</t>
  </si>
  <si>
    <t>上线店铺年终总结考评跟大盘计算，走大盘奖金池</t>
  </si>
  <si>
    <t>C</t>
  </si>
  <si>
    <t>其他业务：自营业务3%，AI POS10%，充电宝(固定金额佣金），佣金计算向下取整）</t>
  </si>
  <si>
    <t>50%佣金</t>
  </si>
  <si>
    <t>满足基本营业额要求，计算50%佣金；已成为产品客户Upsell增值服务；非销售岗销售结果按照这个算；</t>
  </si>
  <si>
    <t>100%佣金</t>
  </si>
  <si>
    <t>超出基本要求的销售金额的销售部分</t>
  </si>
  <si>
    <t>150%佣金</t>
  </si>
  <si>
    <t>超出基本要求3倍的</t>
  </si>
  <si>
    <t>阶梯计划</t>
  </si>
  <si>
    <t>月度考核</t>
  </si>
  <si>
    <t>半年度考核</t>
  </si>
  <si>
    <t>Sales</t>
  </si>
  <si>
    <t>非销售岗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</si>
</sst>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1" fillId="2" borderId="0" xfId="0" applyFont="1" applyFill="1">
      <alignment vertical="center"/>
    </xf>
    <xf numFmtId="0" fontId="0" fillId="0" borderId="0" xfId="0" applyAlignment="1">
      <alignment vertical="center" wrapText="1"/>
    </xf>
    <xf numFmtId="9" fontId="1" fillId="0" borderId="0" xfId="0" applyNumberFormat="1" applyFont="1">
      <alignment vertical="center"/>
    </xf>
    <xf numFmtId="0" fontId="0" fillId="0" borderId="0" xfId="0" applyFont="1">
      <alignment vertical="center"/>
    </xf>
    <xf numFmtId="9" fontId="0" fillId="0" borderId="0" xfId="0" applyNumberFormat="1" applyFont="1">
      <alignment vertical="center"/>
    </xf>
    <xf numFmtId="9" fontId="0" fillId="0" borderId="0" xfId="3" applyFont="1">
      <alignment vertical="center"/>
    </xf>
    <xf numFmtId="9" fontId="1" fillId="0" borderId="0" xfId="3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O27"/>
  <sheetViews>
    <sheetView topLeftCell="B2" workbookViewId="0">
      <selection activeCell="J17" sqref="J17"/>
    </sheetView>
  </sheetViews>
  <sheetFormatPr defaultColWidth="9" defaultRowHeight="16.8"/>
  <cols>
    <col min="4" max="4" width="28.1875" customWidth="1"/>
    <col min="5" max="5" width="12.6875" style="7"/>
    <col min="6" max="6" width="12.6875" style="1"/>
    <col min="7" max="7" width="9.8984375" style="7" customWidth="1"/>
    <col min="8" max="8" width="12.6875" style="1"/>
    <col min="9" max="9" width="9" style="1"/>
    <col min="10" max="10" width="16.0625" style="7" customWidth="1"/>
    <col min="11" max="11" width="10.421875" customWidth="1"/>
    <col min="12" max="12" width="13.8046875" customWidth="1"/>
    <col min="13" max="13" width="17.0546875" customWidth="1"/>
    <col min="14" max="14" width="14.84375" customWidth="1"/>
  </cols>
  <sheetData>
    <row r="4" spans="4:15">
      <c r="H4" s="1" t="s">
        <v>0</v>
      </c>
    </row>
    <row r="6" spans="4:15">
      <c r="D6" t="s">
        <v>1</v>
      </c>
      <c r="E6" s="7">
        <v>30</v>
      </c>
      <c r="F6" s="1">
        <v>50</v>
      </c>
      <c r="G6" s="7">
        <v>10</v>
      </c>
      <c r="H6" s="1">
        <v>10</v>
      </c>
    </row>
    <row r="7" spans="4:15">
      <c r="D7" t="s">
        <v>2</v>
      </c>
      <c r="E7" s="7" t="s">
        <v>3</v>
      </c>
      <c r="F7" s="1" t="s">
        <v>4</v>
      </c>
      <c r="G7" s="7" t="s">
        <v>5</v>
      </c>
      <c r="H7" s="1" t="s">
        <v>6</v>
      </c>
      <c r="I7" s="1" t="s">
        <v>7</v>
      </c>
      <c r="K7" t="s">
        <v>8</v>
      </c>
      <c r="L7" t="s">
        <v>9</v>
      </c>
      <c r="M7" t="s">
        <v>10</v>
      </c>
    </row>
    <row r="8" spans="4:15">
      <c r="E8" s="7">
        <v>800</v>
      </c>
      <c r="F8" s="1">
        <v>400</v>
      </c>
      <c r="G8" s="7">
        <v>3600</v>
      </c>
      <c r="H8" s="1">
        <v>3600</v>
      </c>
      <c r="I8" s="1">
        <v>3600</v>
      </c>
      <c r="O8">
        <v>2500</v>
      </c>
    </row>
    <row r="9" spans="4:15">
      <c r="D9" t="s">
        <v>11</v>
      </c>
      <c r="E9" s="7">
        <v>50</v>
      </c>
      <c r="F9" s="1">
        <v>50</v>
      </c>
      <c r="G9" s="7">
        <v>150</v>
      </c>
      <c r="H9" s="1">
        <v>150</v>
      </c>
      <c r="I9" s="1">
        <v>150</v>
      </c>
    </row>
    <row r="10" spans="4:15">
      <c r="D10" t="s">
        <v>8</v>
      </c>
      <c r="E10" s="7">
        <v>60</v>
      </c>
      <c r="F10" s="1">
        <v>60</v>
      </c>
      <c r="G10" s="7">
        <v>500</v>
      </c>
      <c r="H10" s="1">
        <v>1200</v>
      </c>
      <c r="I10" s="1">
        <v>2000</v>
      </c>
      <c r="J10" s="7" t="s">
        <v>12</v>
      </c>
      <c r="K10">
        <f>F10*F6</f>
        <v>3000</v>
      </c>
      <c r="L10">
        <f>H10*H6</f>
        <v>12000</v>
      </c>
    </row>
    <row r="11" spans="4:15">
      <c r="D11" t="s">
        <v>13</v>
      </c>
      <c r="E11" s="7">
        <v>20</v>
      </c>
      <c r="F11" s="1">
        <v>20</v>
      </c>
      <c r="L11">
        <f>F11*F6*3</f>
        <v>3000</v>
      </c>
    </row>
    <row r="12" spans="4:15">
      <c r="D12" t="s">
        <v>14</v>
      </c>
      <c r="E12" s="7">
        <v>50</v>
      </c>
      <c r="F12" s="1">
        <v>50</v>
      </c>
      <c r="G12" s="7">
        <v>50</v>
      </c>
      <c r="H12" s="1">
        <v>50</v>
      </c>
      <c r="I12" s="1">
        <v>50</v>
      </c>
      <c r="M12">
        <f>E12*E6*50</f>
        <v>75000</v>
      </c>
    </row>
    <row r="13" spans="4:15">
      <c r="D13" t="s">
        <v>15</v>
      </c>
      <c r="E13" s="7">
        <f>E8*10%</f>
        <v>80</v>
      </c>
      <c r="F13" s="1">
        <f>F8*10%</f>
        <v>40</v>
      </c>
      <c r="G13" s="7">
        <v>200</v>
      </c>
      <c r="H13" s="1">
        <v>200</v>
      </c>
      <c r="I13" s="1">
        <v>300</v>
      </c>
    </row>
    <row r="14" spans="4:15">
      <c r="D14" t="s">
        <v>16</v>
      </c>
      <c r="E14" s="7">
        <v>0</v>
      </c>
      <c r="F14" s="1">
        <v>0</v>
      </c>
      <c r="G14" s="7">
        <v>500</v>
      </c>
      <c r="H14" s="1">
        <v>500</v>
      </c>
      <c r="I14" s="1">
        <v>0</v>
      </c>
    </row>
    <row r="15" spans="4:15">
      <c r="D15" t="s">
        <v>17</v>
      </c>
      <c r="E15" s="7">
        <f>E8*5%</f>
        <v>40</v>
      </c>
      <c r="F15" s="1">
        <f>F8*5%</f>
        <v>20</v>
      </c>
      <c r="G15" s="7">
        <v>150</v>
      </c>
      <c r="H15" s="1">
        <v>150</v>
      </c>
      <c r="K15">
        <f>F6*F15</f>
        <v>1000</v>
      </c>
      <c r="L15">
        <f>H15*H6</f>
        <v>1500</v>
      </c>
    </row>
    <row r="16" spans="4:15">
      <c r="D16" t="s">
        <v>18</v>
      </c>
    </row>
    <row r="18" spans="4:12">
      <c r="D18" t="s">
        <v>19</v>
      </c>
      <c r="E18" s="8">
        <v>0.05</v>
      </c>
      <c r="F18" s="6">
        <v>0.05</v>
      </c>
      <c r="G18" s="8">
        <v>0.05</v>
      </c>
      <c r="H18" s="6">
        <v>0.05</v>
      </c>
      <c r="J18" s="7" t="s">
        <v>20</v>
      </c>
      <c r="K18">
        <f>E8*E18*E6</f>
        <v>1200</v>
      </c>
      <c r="L18">
        <f>H6*H8*H18</f>
        <v>1800</v>
      </c>
    </row>
    <row r="19" spans="4:12">
      <c r="D19" t="s">
        <v>21</v>
      </c>
      <c r="E19" s="8">
        <v>0.05</v>
      </c>
      <c r="F19" s="6">
        <v>0.05</v>
      </c>
      <c r="G19" s="8">
        <v>0.05</v>
      </c>
      <c r="H19" s="6">
        <v>0.05</v>
      </c>
    </row>
    <row r="21" spans="4:12">
      <c r="D21" t="s">
        <v>22</v>
      </c>
      <c r="E21" s="7">
        <f>E8-SUM(E9:E15)</f>
        <v>500</v>
      </c>
      <c r="F21" s="1">
        <f>F8-SUM(F9:F15)</f>
        <v>160</v>
      </c>
      <c r="G21" s="7">
        <f>G8-SUM(G9:G15)</f>
        <v>2050</v>
      </c>
      <c r="H21" s="1">
        <f>H8-SUM(H9:H15)</f>
        <v>1350</v>
      </c>
      <c r="I21" s="1">
        <f>I8-I9-I10-I13-I12-I15</f>
        <v>1100</v>
      </c>
      <c r="J21" s="7" t="s">
        <v>23</v>
      </c>
      <c r="K21">
        <f>K10+K15</f>
        <v>4000</v>
      </c>
      <c r="L21">
        <f>L10+L11+L15</f>
        <v>16500</v>
      </c>
    </row>
    <row r="22" spans="4:12">
      <c r="D22" t="s">
        <v>24</v>
      </c>
      <c r="E22" s="9">
        <f>E21/E8</f>
        <v>0.625</v>
      </c>
      <c r="F22" s="10">
        <f>F21/F8</f>
        <v>0.4</v>
      </c>
      <c r="G22" s="9">
        <f>G21/G8</f>
        <v>0.569444444444444</v>
      </c>
      <c r="H22" s="10">
        <f>H21/H8</f>
        <v>0.375</v>
      </c>
      <c r="J22" s="7" t="s">
        <v>25</v>
      </c>
      <c r="K22">
        <f>K18+K21</f>
        <v>5200</v>
      </c>
      <c r="L22">
        <f>L18+L21</f>
        <v>18300</v>
      </c>
    </row>
    <row r="24" spans="4:12">
      <c r="D24" t="s">
        <v>26</v>
      </c>
      <c r="E24" s="7">
        <f>E21-E8*10%+E13</f>
        <v>500</v>
      </c>
      <c r="F24" s="1">
        <f>F21-F8*10%+F13</f>
        <v>160</v>
      </c>
      <c r="G24" s="7">
        <f>G21-G8*10%+G13</f>
        <v>1890</v>
      </c>
      <c r="H24" s="1">
        <f>H21-H8*10%+H13</f>
        <v>1190</v>
      </c>
    </row>
    <row r="25" spans="4:12">
      <c r="D25" t="s">
        <v>27</v>
      </c>
      <c r="E25" s="9">
        <f>E24/E8</f>
        <v>0.625</v>
      </c>
      <c r="F25" s="10">
        <f>F24/F8</f>
        <v>0.4</v>
      </c>
      <c r="G25" s="9">
        <f>G24/G8</f>
        <v>0.525</v>
      </c>
      <c r="H25" s="10">
        <f>H24/H8</f>
        <v>0.330555555555556</v>
      </c>
    </row>
    <row r="27" spans="4:12">
      <c r="D27" t="s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F15"/>
  <sheetViews>
    <sheetView tabSelected="1" zoomScale="142" zoomScaleNormal="142" workbookViewId="0">
      <selection activeCell="D3" sqref="D3"/>
    </sheetView>
  </sheetViews>
  <sheetFormatPr defaultColWidth="9" defaultRowHeight="16.8" outlineLevelCol="5"/>
  <cols>
    <col min="2" max="2" width="4.9765625" customWidth="1"/>
    <col min="3" max="3" width="24.375" customWidth="1"/>
    <col min="4" max="4" width="24.484375" customWidth="1"/>
    <col min="5" max="5" width="31.8125" customWidth="1"/>
    <col min="6" max="6" width="56.109375" customWidth="1"/>
    <col min="7" max="7" width="30.078125" customWidth="1"/>
    <col min="8" max="8" width="14.453125" customWidth="1"/>
  </cols>
  <sheetData>
    <row r="4" spans="2:6">
      <c r="C4" t="s">
        <v>29</v>
      </c>
    </row>
    <row r="6" s="1" customFormat="1" spans="2:6">
      <c r="C6" s="1" t="s">
        <v>30</v>
      </c>
      <c r="D6" s="1" t="s">
        <v>31</v>
      </c>
      <c r="E6" s="1" t="s">
        <v>32</v>
      </c>
      <c r="F6" s="1" t="s">
        <v>33</v>
      </c>
    </row>
    <row r="7" spans="2:6">
      <c r="C7">
        <v>3500</v>
      </c>
      <c r="D7" s="2">
        <f>C7*12</f>
        <v>42000</v>
      </c>
    </row>
    <row r="8" s="2" customFormat="1" ht="39" customHeight="1" spans="2:6">
      <c r="B8" s="2" t="s">
        <v>34</v>
      </c>
      <c r="C8" s="3" t="s">
        <v>35</v>
      </c>
      <c r="D8" s="2" t="s">
        <v>36</v>
      </c>
      <c r="E8" s="4" t="s">
        <v>37</v>
      </c>
      <c r="F8" s="4" t="s">
        <v>38</v>
      </c>
    </row>
    <row r="9" customFormat="1" ht="48" customHeight="1" spans="2:6">
      <c r="B9" t="s">
        <v>39</v>
      </c>
      <c r="C9" t="s">
        <v>40</v>
      </c>
      <c r="D9" t="s">
        <v>41</v>
      </c>
      <c r="E9" t="s">
        <v>42</v>
      </c>
    </row>
    <row r="10" ht="63" customHeight="1" spans="2:6">
      <c r="B10" t="s">
        <v>43</v>
      </c>
      <c r="C10" s="5" t="s">
        <v>44</v>
      </c>
      <c r="E10" s="1" t="s">
        <v>45</v>
      </c>
      <c r="F10" s="1" t="s">
        <v>46</v>
      </c>
    </row>
    <row r="11" spans="2:6">
      <c r="E11" s="6" t="s">
        <v>47</v>
      </c>
      <c r="F11" s="1" t="s">
        <v>48</v>
      </c>
    </row>
    <row r="12" spans="2:6">
      <c r="E12" s="1" t="s">
        <v>49</v>
      </c>
      <c r="F12" s="1" t="s">
        <v>50</v>
      </c>
    </row>
    <row r="13" spans="2:6">
      <c r="C13" s="4" t="s">
        <v>51</v>
      </c>
      <c r="D13" t="s">
        <v>52</v>
      </c>
      <c r="E13" t="s">
        <v>53</v>
      </c>
    </row>
    <row r="14" spans="2:6">
      <c r="C14" t="s">
        <v>54</v>
      </c>
      <c r="D14">
        <v>36000</v>
      </c>
    </row>
    <row r="15" spans="2:6">
      <c r="C15" t="s">
        <v>55</v>
      </c>
      <c r="D15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alextian</dc:creator>
  <cp:lastModifiedBy>ye tian</cp:lastModifiedBy>
  <dcterms:created xsi:type="dcterms:W3CDTF">2026-06-11T21:43:00Z</dcterms:created>
  <dcterms:modified xsi:type="dcterms:W3CDTF">2026-07-02T14:38:41Z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5881A32C33F22F65347F296A5060D9F9_41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1</vt:i4>
  </property>
</Properties>
</file>